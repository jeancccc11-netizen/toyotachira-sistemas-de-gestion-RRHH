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L:\Yoselyn\"/>
    </mc:Choice>
  </mc:AlternateContent>
  <xr:revisionPtr revIDLastSave="0" documentId="8_{73DDDA68-5718-4793-B1CC-F807AB87EB14}" xr6:coauthVersionLast="47" xr6:coauthVersionMax="47" xr10:uidLastSave="{00000000-0000-0000-0000-000000000000}"/>
  <bookViews>
    <workbookView xWindow="-120" yWindow="-120" windowWidth="24240" windowHeight="13140" xr2:uid="{30B276D0-3CA5-4410-B04F-F33896AC256F}"/>
  </bookViews>
  <sheets>
    <sheet name="EJEMPLO" sheetId="1" r:id="rId1"/>
  </sheets>
  <externalReferences>
    <externalReference r:id="rId2"/>
  </externalReferences>
  <definedNames>
    <definedName name="_GoBack" localSheetId="0">EJEMPLO!#REF!</definedName>
    <definedName name="_xlnm.Print_Area" localSheetId="0">EJEMPLO!$A$1:$H$42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1" i="1" l="1"/>
  <c r="F20" i="1"/>
  <c r="H20" i="1" s="1"/>
  <c r="H19" i="1"/>
  <c r="F19" i="1"/>
  <c r="H18" i="1"/>
  <c r="F17" i="1"/>
  <c r="H17" i="1" s="1"/>
  <c r="H16" i="1"/>
  <c r="H24" i="1" s="1"/>
  <c r="F16" i="1"/>
  <c r="H27" i="1" l="1"/>
  <c r="H28" i="1"/>
  <c r="J24" i="1"/>
  <c r="K24" i="1" s="1"/>
  <c r="H26" i="1"/>
  <c r="H33" i="1" l="1"/>
  <c r="H35" i="1" s="1"/>
  <c r="J35" i="1" l="1"/>
  <c r="M36" i="1"/>
  <c r="M39" i="1" l="1"/>
  <c r="A38" i="1"/>
</calcChain>
</file>

<file path=xl/sharedStrings.xml><?xml version="1.0" encoding="utf-8"?>
<sst xmlns="http://schemas.openxmlformats.org/spreadsheetml/2006/main" count="48" uniqueCount="41">
  <si>
    <t>RIF. J-30133970-3</t>
  </si>
  <si>
    <t>DOMICILIO FISCAL:</t>
  </si>
  <si>
    <t>Av. 19 de Abril con esquina calle 9 edif. Centro Empresarial Toyotáchira nivel piso pb of pb Urb. Pirineos San Cristóbal Táchira zona postal 5001.</t>
  </si>
  <si>
    <t>RECIBO DE PAGO NOMINA</t>
  </si>
  <si>
    <t>NOMBRE:</t>
  </si>
  <si>
    <t xml:space="preserve">FECHA DE INGRESO </t>
  </si>
  <si>
    <t>PERIODO:</t>
  </si>
  <si>
    <t>C.I.</t>
  </si>
  <si>
    <t xml:space="preserve">DEL:                 AL </t>
  </si>
  <si>
    <t>CARGO</t>
  </si>
  <si>
    <t>DEPARTAMENTO</t>
  </si>
  <si>
    <t>SALRIO BASE DIARIO</t>
  </si>
  <si>
    <t>N°DE CUENTA A DEPOSITAR</t>
  </si>
  <si>
    <t>CONCEPTO</t>
  </si>
  <si>
    <t>DIAS</t>
  </si>
  <si>
    <t>HORA EXTRA/DIA</t>
  </si>
  <si>
    <t>Bs. DIA</t>
  </si>
  <si>
    <t>TOTAL BSS</t>
  </si>
  <si>
    <t>ASIGNACIONES</t>
  </si>
  <si>
    <t>SALARIO BASE</t>
  </si>
  <si>
    <t>DIAS DE DESCANSO REMUNERADO</t>
  </si>
  <si>
    <t>DOMINGO Y DESCANSO TRABAJADO</t>
  </si>
  <si>
    <t>FERIADO TRABAJADOS</t>
  </si>
  <si>
    <t>HORAS EXTRAS</t>
  </si>
  <si>
    <t>DEDUCCIONES</t>
  </si>
  <si>
    <t xml:space="preserve"> TOTAL ASIGNACIONES </t>
  </si>
  <si>
    <t>Bs.</t>
  </si>
  <si>
    <t>RET ISLR</t>
  </si>
  <si>
    <t>He recibido la cantidad de Bs 9086,29, en 27 dolares de los Estados Unidos de Norteamérica a la tasa de Bs. 339,15 por un (1) dolar, en coformidad con lo fijado por el BCV para el día de hoy, correspondiente a mi salario del periodo comprendido en este recibo de pago de salario . En San Cristobal a los 15 dias del mes de enero de 2026.</t>
  </si>
  <si>
    <t>SEGURO SOCIAL OBLIGATORIO</t>
  </si>
  <si>
    <t>REGIMEN PRESTACIONAL DE EMPLEO</t>
  </si>
  <si>
    <t>F.A.O.V</t>
  </si>
  <si>
    <t xml:space="preserve">OTRAS DEDUCCIONES </t>
  </si>
  <si>
    <t>TOTAL DEDUCCIONES.</t>
  </si>
  <si>
    <t xml:space="preserve"> NETO A PAGAR </t>
  </si>
  <si>
    <t xml:space="preserve">He recibido la cantidad de </t>
  </si>
  <si>
    <t xml:space="preserve">, en </t>
  </si>
  <si>
    <t>RECIBI CONFORME:</t>
  </si>
  <si>
    <t xml:space="preserve">dolares de los Estados Unidos de Norteamérica a la tasa de Bs. </t>
  </si>
  <si>
    <t xml:space="preserve">  por un (1) dolar, en coformidad con lo fijado por el BCV para el día de hoy, correspondiente a mi salario del periodo comprendido en este recibo de pago de salario . </t>
  </si>
  <si>
    <t>En San Cristobal a los 15 dias del mes de enero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</si>
</sst>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Bs.S&quot;* #,##0.00_ ;_ &quot;Bs.S&quot;* \-#,##0.00_ ;_ &quot;Bs.S&quot;* &quot;-&quot;??_ ;_ @_ "/>
    <numFmt numFmtId="43" formatCode="_ * #,##0.00_ ;_ * \-#,##0.00_ ;_ * &quot;-&quot;??_ ;_ @_ "/>
    <numFmt numFmtId="164" formatCode="[$$-540A]#.##0"/>
    <numFmt numFmtId="165" formatCode="_ [$Bs.S-200A]* #,##0.00_ ;_ [$Bs.S-200A]* \-#,##0.00_ ;_ [$Bs.S-200A]* &quot;-&quot;??_ ;_ @_ "/>
    <numFmt numFmtId="166" formatCode="[$$-540A]#,##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ahoma"/>
      <family val="2"/>
    </font>
    <font>
      <sz val="12"/>
      <color theme="1"/>
      <name val="Times New Roman"/>
      <family val="1"/>
    </font>
    <font>
      <sz val="12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0" borderId="0" xfId="0" applyFont="1"/>
    <xf numFmtId="0" fontId="2" fillId="2" borderId="4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3" fillId="4" borderId="6" xfId="0" quotePrefix="1" applyFont="1" applyFill="1" applyBorder="1" applyAlignment="1">
      <alignment horizontal="center" vertical="center"/>
    </xf>
    <xf numFmtId="0" fontId="3" fillId="4" borderId="7" xfId="0" quotePrefix="1" applyFont="1" applyFill="1" applyBorder="1" applyAlignment="1">
      <alignment horizontal="center" vertical="center"/>
    </xf>
    <xf numFmtId="0" fontId="3" fillId="4" borderId="8" xfId="0" quotePrefix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2" borderId="11" xfId="0" applyFont="1" applyFill="1" applyBorder="1"/>
    <xf numFmtId="0" fontId="3" fillId="2" borderId="12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14" fontId="3" fillId="0" borderId="0" xfId="0" applyNumberFormat="1" applyFont="1"/>
    <xf numFmtId="0" fontId="3" fillId="0" borderId="7" xfId="0" applyFont="1" applyBorder="1" applyAlignment="1">
      <alignment vertical="center" wrapText="1"/>
    </xf>
    <xf numFmtId="0" fontId="3" fillId="2" borderId="14" xfId="0" applyFont="1" applyFill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vertical="center"/>
    </xf>
    <xf numFmtId="0" fontId="3" fillId="4" borderId="12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3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2" fontId="2" fillId="0" borderId="0" xfId="1" applyNumberFormat="1" applyFont="1" applyBorder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165" fontId="2" fillId="0" borderId="5" xfId="1" applyNumberFormat="1" applyFont="1" applyBorder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2" fontId="2" fillId="0" borderId="0" xfId="0" applyNumberFormat="1" applyFont="1"/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left" vertical="top" indent="1"/>
    </xf>
    <xf numFmtId="0" fontId="3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/>
    </xf>
    <xf numFmtId="0" fontId="3" fillId="4" borderId="12" xfId="0" applyFont="1" applyFill="1" applyBorder="1" applyAlignment="1">
      <alignment horizontal="center" vertical="center"/>
    </xf>
    <xf numFmtId="164" fontId="3" fillId="4" borderId="12" xfId="0" applyNumberFormat="1" applyFont="1" applyFill="1" applyBorder="1" applyAlignment="1">
      <alignment horizontal="center" vertical="center"/>
    </xf>
    <xf numFmtId="2" fontId="3" fillId="4" borderId="13" xfId="2" applyNumberFormat="1" applyFont="1" applyFill="1" applyBorder="1" applyAlignment="1">
      <alignment horizontal="right" vertical="center" indent="1"/>
    </xf>
    <xf numFmtId="44" fontId="2" fillId="0" borderId="0" xfId="0" applyNumberFormat="1" applyFont="1"/>
    <xf numFmtId="0" fontId="2" fillId="0" borderId="4" xfId="0" applyFont="1" applyBorder="1"/>
    <xf numFmtId="164" fontId="3" fillId="0" borderId="15" xfId="0" applyNumberFormat="1" applyFont="1" applyBorder="1" applyAlignment="1">
      <alignment horizontal="center" vertical="center"/>
    </xf>
    <xf numFmtId="44" fontId="2" fillId="0" borderId="5" xfId="2" applyFont="1" applyBorder="1" applyAlignment="1">
      <alignment horizontal="left" vertical="center" indent="1"/>
    </xf>
    <xf numFmtId="0" fontId="2" fillId="0" borderId="0" xfId="0" applyFont="1" applyAlignment="1">
      <alignment horizontal="center" vertical="center" wrapText="1"/>
    </xf>
    <xf numFmtId="2" fontId="2" fillId="0" borderId="5" xfId="2" applyNumberFormat="1" applyFont="1" applyBorder="1" applyAlignment="1">
      <alignment horizontal="right" vertical="center" indent="1"/>
    </xf>
    <xf numFmtId="0" fontId="2" fillId="0" borderId="0" xfId="0" applyFont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/>
    </xf>
    <xf numFmtId="44" fontId="2" fillId="0" borderId="8" xfId="2" applyFont="1" applyBorder="1" applyAlignment="1">
      <alignment horizontal="left" vertical="center" indent="1"/>
    </xf>
    <xf numFmtId="166" fontId="2" fillId="0" borderId="0" xfId="0" applyNumberFormat="1" applyFont="1"/>
    <xf numFmtId="0" fontId="2" fillId="4" borderId="11" xfId="0" applyFont="1" applyFill="1" applyBorder="1" applyAlignment="1">
      <alignment vertical="center"/>
    </xf>
    <xf numFmtId="0" fontId="2" fillId="0" borderId="5" xfId="0" applyFont="1" applyBorder="1" applyAlignment="1">
      <alignment horizontal="left" vertical="center" indent="1"/>
    </xf>
    <xf numFmtId="0" fontId="3" fillId="0" borderId="15" xfId="0" applyFont="1" applyBorder="1" applyAlignment="1">
      <alignment horizontal="center" vertical="center" wrapText="1"/>
    </xf>
    <xf numFmtId="2" fontId="3" fillId="0" borderId="16" xfId="2" applyNumberFormat="1" applyFont="1" applyBorder="1" applyAlignment="1">
      <alignment horizontal="left" vertical="center" inden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2" fontId="3" fillId="0" borderId="5" xfId="2" applyNumberFormat="1" applyFont="1" applyBorder="1" applyAlignment="1">
      <alignment horizontal="left" vertical="center" indent="1"/>
    </xf>
    <xf numFmtId="44" fontId="3" fillId="0" borderId="5" xfId="2" applyFont="1" applyBorder="1" applyAlignment="1">
      <alignment horizontal="left" vertical="center" indent="1"/>
    </xf>
    <xf numFmtId="2" fontId="2" fillId="0" borderId="4" xfId="0" applyNumberFormat="1" applyFont="1" applyBorder="1" applyAlignment="1">
      <alignment horizontal="left" vertical="center" wrapText="1"/>
    </xf>
    <xf numFmtId="2" fontId="2" fillId="0" borderId="0" xfId="0" applyNumberFormat="1" applyFont="1" applyAlignment="1">
      <alignment horizontal="left" vertical="center" wrapText="1"/>
    </xf>
    <xf numFmtId="2" fontId="2" fillId="0" borderId="5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2" fontId="2" fillId="0" borderId="0" xfId="0" applyNumberFormat="1" applyFont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2" fontId="2" fillId="0" borderId="0" xfId="0" applyNumberFormat="1" applyFont="1" applyAlignment="1">
      <alignment horizontal="left"/>
    </xf>
    <xf numFmtId="0" fontId="2" fillId="0" borderId="6" xfId="0" applyFont="1" applyBorder="1" applyAlignment="1">
      <alignment vertical="center"/>
    </xf>
    <xf numFmtId="0" fontId="2" fillId="0" borderId="12" xfId="0" applyFont="1" applyBorder="1" applyAlignment="1">
      <alignment vertical="center" wrapText="1"/>
    </xf>
    <xf numFmtId="0" fontId="2" fillId="0" borderId="8" xfId="0" applyFont="1" applyBorder="1" applyAlignment="1">
      <alignment vertic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66675</xdr:rowOff>
    </xdr:from>
    <xdr:ext cx="3547954" cy="476250"/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05F887AC-BBDE-4ADA-B46F-6F5E8E2EA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66675"/>
          <a:ext cx="3547954" cy="476250"/>
        </a:xfrm>
        <a:prstGeom prst="rect">
          <a:avLst/>
        </a:prstGeom>
      </xdr:spPr>
    </xdr:pic>
    <xdr:clientData/>
  </xdr:oneCellAnchor>
  <xdr:twoCellAnchor>
    <xdr:from>
      <xdr:col>4</xdr:col>
      <xdr:colOff>495300</xdr:colOff>
      <xdr:row>62</xdr:row>
      <xdr:rowOff>0</xdr:rowOff>
    </xdr:from>
    <xdr:to>
      <xdr:col>5</xdr:col>
      <xdr:colOff>428625</xdr:colOff>
      <xdr:row>70</xdr:row>
      <xdr:rowOff>152400</xdr:rowOff>
    </xdr:to>
    <xdr:pic>
      <xdr:nvPicPr>
        <xdr:cNvPr id="3" name="Imagen 5">
          <a:extLst>
            <a:ext uri="{FF2B5EF4-FFF2-40B4-BE49-F238E27FC236}">
              <a16:creationId xmlns:a16="http://schemas.microsoft.com/office/drawing/2014/main" id="{A4DC109E-A620-4B73-A207-DCAE84721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3401938">
          <a:off x="3814763" y="12225337"/>
          <a:ext cx="144780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echnoStoreSC\OneDrive\Documents\NOMINAS\RECIBOS%20DE%20PAGO%201)(Recuperado%20este.xlsx" TargetMode="External"/><Relationship Id="rId1" Type="http://schemas.openxmlformats.org/officeDocument/2006/relationships/externalLinkPath" Target="file:///C:\Users\TechnoStoreSC\OneDrive\Documents\NOMINAS\RECIBOS%20DE%20PAGO%201)(Recuperado%20es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MINA"/>
      <sheetName val="Hoja2"/>
      <sheetName val="RECIBO"/>
      <sheetName val="RECIBO1"/>
      <sheetName val="EJEMPLLO"/>
      <sheetName val="RECIBO1 (2)"/>
      <sheetName val="RECIBO1,2"/>
      <sheetName val="RECIBO MODIFICADO"/>
      <sheetName val="CONVENIO AYUDA TRANSPORTE"/>
      <sheetName val="1"/>
    </sheetNames>
    <sheetDataSet>
      <sheetData sheetId="0">
        <row r="4">
          <cell r="AG4">
            <v>393.22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A502D-BB58-4521-AF58-3D06F21BE2D8}">
  <dimension ref="A1:T43"/>
  <sheetViews>
    <sheetView showGridLines="0" tabSelected="1" workbookViewId="0">
      <selection activeCell="F20" sqref="F20"/>
    </sheetView>
  </sheetViews>
  <sheetFormatPr baseColWidth="10" defaultColWidth="11.42578125" defaultRowHeight="12.75" x14ac:dyDescent="0.2"/>
  <cols>
    <col min="1" max="1" width="18.42578125" style="4" customWidth="1"/>
    <col min="2" max="3" width="12.7109375" style="4" customWidth="1"/>
    <col min="4" max="4" width="11.5703125" style="4" bestFit="1" customWidth="1"/>
    <col min="5" max="5" width="11.42578125" style="4"/>
    <col min="6" max="6" width="13.42578125" style="4" bestFit="1" customWidth="1"/>
    <col min="7" max="7" width="13.42578125" style="4" customWidth="1"/>
    <col min="8" max="8" width="18" style="4" customWidth="1"/>
    <col min="9" max="9" width="11.42578125" style="4"/>
    <col min="10" max="10" width="17.140625" style="4" bestFit="1" customWidth="1"/>
    <col min="11" max="12" width="11.42578125" style="4"/>
    <col min="13" max="13" width="13.42578125" style="59" bestFit="1" customWidth="1"/>
    <col min="14" max="16384" width="11.42578125" style="4"/>
  </cols>
  <sheetData>
    <row r="1" spans="1:10" x14ac:dyDescent="0.2">
      <c r="A1" s="1"/>
      <c r="B1" s="2"/>
      <c r="C1" s="2"/>
      <c r="D1" s="2"/>
      <c r="E1" s="2"/>
      <c r="F1" s="2"/>
      <c r="G1" s="2"/>
      <c r="H1" s="3"/>
    </row>
    <row r="2" spans="1:10" x14ac:dyDescent="0.2">
      <c r="A2" s="5"/>
      <c r="B2" s="6"/>
      <c r="C2" s="6"/>
      <c r="D2" s="6"/>
      <c r="E2" s="6"/>
      <c r="F2" s="6"/>
      <c r="G2" s="6"/>
      <c r="H2" s="7"/>
    </row>
    <row r="3" spans="1:10" x14ac:dyDescent="0.2">
      <c r="A3" s="5"/>
      <c r="B3" s="6"/>
      <c r="C3" s="6"/>
      <c r="D3" s="6"/>
      <c r="E3" s="6"/>
      <c r="F3" s="6"/>
      <c r="G3" s="6"/>
      <c r="H3" s="7"/>
    </row>
    <row r="4" spans="1:10" ht="25.5" customHeight="1" thickBot="1" x14ac:dyDescent="0.25">
      <c r="A4" s="8" t="s">
        <v>0</v>
      </c>
      <c r="B4" s="9"/>
      <c r="C4" s="9"/>
      <c r="D4" s="9"/>
      <c r="E4" s="9"/>
      <c r="F4" s="9"/>
      <c r="G4" s="9"/>
      <c r="H4" s="10"/>
    </row>
    <row r="5" spans="1:10" ht="15" customHeight="1" x14ac:dyDescent="0.2">
      <c r="A5" s="11" t="s">
        <v>1</v>
      </c>
      <c r="B5" s="12" t="s">
        <v>2</v>
      </c>
      <c r="C5" s="13"/>
      <c r="D5" s="13"/>
      <c r="E5" s="13"/>
      <c r="F5" s="13"/>
      <c r="G5" s="13"/>
      <c r="H5" s="14"/>
    </row>
    <row r="6" spans="1:10" ht="15.75" customHeight="1" thickBot="1" x14ac:dyDescent="0.25">
      <c r="A6" s="15"/>
      <c r="B6" s="16"/>
      <c r="C6" s="17"/>
      <c r="D6" s="17"/>
      <c r="E6" s="17"/>
      <c r="F6" s="17"/>
      <c r="G6" s="17"/>
      <c r="H6" s="18"/>
    </row>
    <row r="7" spans="1:10" ht="7.5" customHeight="1" thickBot="1" x14ac:dyDescent="0.25">
      <c r="A7" s="19"/>
      <c r="B7" s="20"/>
      <c r="C7" s="20"/>
      <c r="D7" s="20"/>
      <c r="E7" s="20"/>
      <c r="F7" s="20"/>
      <c r="G7" s="20"/>
      <c r="H7" s="21"/>
    </row>
    <row r="8" spans="1:10" ht="13.5" thickBot="1" x14ac:dyDescent="0.25">
      <c r="A8" s="22" t="s">
        <v>3</v>
      </c>
      <c r="B8" s="23"/>
      <c r="C8" s="23"/>
      <c r="D8" s="23"/>
      <c r="E8" s="23"/>
      <c r="F8" s="23"/>
      <c r="G8" s="23"/>
      <c r="H8" s="24"/>
    </row>
    <row r="9" spans="1:10" ht="12.75" customHeight="1" thickBot="1" x14ac:dyDescent="0.25">
      <c r="A9" s="25" t="s">
        <v>4</v>
      </c>
      <c r="B9" s="26"/>
      <c r="C9" s="27"/>
      <c r="D9" s="28"/>
      <c r="E9" s="29" t="s">
        <v>5</v>
      </c>
      <c r="F9" s="30"/>
      <c r="G9" s="31" t="s">
        <v>6</v>
      </c>
      <c r="H9" s="32"/>
    </row>
    <row r="10" spans="1:10" ht="19.5" customHeight="1" thickBot="1" x14ac:dyDescent="0.25">
      <c r="A10" s="25" t="s">
        <v>7</v>
      </c>
      <c r="B10" s="26"/>
      <c r="C10" s="27"/>
      <c r="D10" s="28"/>
      <c r="E10" s="33"/>
      <c r="F10" s="34"/>
      <c r="G10" s="26" t="s">
        <v>8</v>
      </c>
      <c r="H10" s="28"/>
    </row>
    <row r="11" spans="1:10" ht="23.25" customHeight="1" thickBot="1" x14ac:dyDescent="0.25">
      <c r="A11" s="35" t="s">
        <v>9</v>
      </c>
      <c r="B11" s="26"/>
      <c r="C11" s="27"/>
      <c r="D11" s="28"/>
      <c r="E11" s="31" t="s">
        <v>10</v>
      </c>
      <c r="F11" s="32"/>
      <c r="G11" s="26"/>
      <c r="H11" s="28"/>
    </row>
    <row r="12" spans="1:10" ht="25.5" customHeight="1" thickBot="1" x14ac:dyDescent="0.25">
      <c r="A12" s="35" t="s">
        <v>11</v>
      </c>
      <c r="B12" s="36">
        <v>565.25</v>
      </c>
      <c r="C12" s="37"/>
      <c r="D12" s="38"/>
      <c r="E12" s="31" t="s">
        <v>12</v>
      </c>
      <c r="F12" s="32"/>
      <c r="G12" s="26"/>
      <c r="H12" s="28"/>
    </row>
    <row r="13" spans="1:10" ht="7.5" customHeight="1" thickBot="1" x14ac:dyDescent="0.25">
      <c r="A13" s="39"/>
      <c r="B13" s="40"/>
      <c r="C13" s="40"/>
      <c r="D13" s="40"/>
      <c r="E13" s="40"/>
      <c r="F13" s="40"/>
      <c r="G13" s="40"/>
      <c r="H13" s="41"/>
    </row>
    <row r="14" spans="1:10" ht="26.25" thickBot="1" x14ac:dyDescent="0.25">
      <c r="A14" s="42" t="s">
        <v>13</v>
      </c>
      <c r="B14" s="43"/>
      <c r="C14" s="43"/>
      <c r="D14" s="44" t="s">
        <v>14</v>
      </c>
      <c r="E14" s="45" t="s">
        <v>15</v>
      </c>
      <c r="F14" s="44" t="s">
        <v>16</v>
      </c>
      <c r="G14" s="44"/>
      <c r="H14" s="46" t="s">
        <v>17</v>
      </c>
      <c r="J14" s="47"/>
    </row>
    <row r="15" spans="1:10" ht="18" customHeight="1" x14ac:dyDescent="0.2">
      <c r="A15" s="48" t="s">
        <v>18</v>
      </c>
      <c r="B15" s="49"/>
      <c r="C15" s="49"/>
      <c r="D15" s="49"/>
      <c r="E15" s="49"/>
      <c r="F15" s="49"/>
      <c r="G15" s="49"/>
      <c r="H15" s="50"/>
      <c r="J15" s="47"/>
    </row>
    <row r="16" spans="1:10" ht="15.75" x14ac:dyDescent="0.2">
      <c r="A16" s="51" t="s">
        <v>19</v>
      </c>
      <c r="B16" s="49"/>
      <c r="C16" s="49"/>
      <c r="D16" s="52">
        <v>11</v>
      </c>
      <c r="E16" s="53"/>
      <c r="F16" s="54">
        <f>B12</f>
        <v>565.25</v>
      </c>
      <c r="G16" s="55"/>
      <c r="H16" s="56">
        <f>F16*D16</f>
        <v>6217.75</v>
      </c>
      <c r="J16" s="57"/>
    </row>
    <row r="17" spans="1:20" ht="15" x14ac:dyDescent="0.25">
      <c r="A17" s="51" t="s">
        <v>20</v>
      </c>
      <c r="B17" s="49"/>
      <c r="C17" s="49"/>
      <c r="D17" s="52">
        <v>4</v>
      </c>
      <c r="E17" s="58"/>
      <c r="F17" s="54">
        <f>B12</f>
        <v>565.25</v>
      </c>
      <c r="H17" s="56">
        <f>F17*D17</f>
        <v>2261</v>
      </c>
      <c r="J17"/>
    </row>
    <row r="18" spans="1:20" ht="17.25" customHeight="1" x14ac:dyDescent="0.2">
      <c r="A18" s="60" t="s">
        <v>21</v>
      </c>
      <c r="B18" s="61"/>
      <c r="C18" s="61"/>
      <c r="D18" s="52">
        <v>0</v>
      </c>
      <c r="E18" s="58"/>
      <c r="F18" s="54"/>
      <c r="G18" s="55"/>
      <c r="H18" s="56">
        <f>F18*D18</f>
        <v>0</v>
      </c>
      <c r="J18" s="62"/>
    </row>
    <row r="19" spans="1:20" ht="15" x14ac:dyDescent="0.2">
      <c r="A19" s="51" t="s">
        <v>22</v>
      </c>
      <c r="B19" s="49"/>
      <c r="C19" s="49"/>
      <c r="D19" s="52">
        <v>1</v>
      </c>
      <c r="E19" s="58"/>
      <c r="F19" s="54">
        <f>B12*1.5</f>
        <v>847.875</v>
      </c>
      <c r="G19" s="58"/>
      <c r="H19" s="56">
        <f>F19*D19</f>
        <v>847.875</v>
      </c>
      <c r="J19" s="63"/>
    </row>
    <row r="20" spans="1:20" ht="15" x14ac:dyDescent="0.2">
      <c r="A20" s="51" t="s">
        <v>23</v>
      </c>
      <c r="B20" s="49"/>
      <c r="C20" s="49"/>
      <c r="D20" s="52"/>
      <c r="E20" s="58">
        <v>0</v>
      </c>
      <c r="F20" s="54">
        <f>0/8*30%</f>
        <v>0</v>
      </c>
      <c r="G20" s="58"/>
      <c r="H20" s="56">
        <f>F20*E20</f>
        <v>0</v>
      </c>
      <c r="J20" s="63"/>
    </row>
    <row r="21" spans="1:20" ht="15" x14ac:dyDescent="0.2">
      <c r="A21" s="51"/>
      <c r="B21" s="49"/>
      <c r="C21" s="49"/>
      <c r="D21" s="52"/>
      <c r="E21" s="58"/>
      <c r="F21" s="54"/>
      <c r="G21" s="58"/>
      <c r="H21" s="64"/>
      <c r="J21" s="63"/>
    </row>
    <row r="22" spans="1:20" ht="15" x14ac:dyDescent="0.2">
      <c r="A22" s="51"/>
      <c r="B22" s="49"/>
      <c r="C22" s="49"/>
      <c r="D22" s="58"/>
      <c r="E22" s="58"/>
      <c r="F22" s="54"/>
      <c r="G22" s="58"/>
      <c r="H22" s="64"/>
      <c r="J22" s="63"/>
    </row>
    <row r="23" spans="1:20" ht="11.25" customHeight="1" thickBot="1" x14ac:dyDescent="0.25">
      <c r="A23" s="51"/>
      <c r="B23" s="49"/>
      <c r="C23" s="49"/>
      <c r="E23" s="58"/>
      <c r="F23" s="58"/>
      <c r="G23" s="58"/>
      <c r="H23" s="64"/>
    </row>
    <row r="24" spans="1:20" ht="13.5" thickBot="1" x14ac:dyDescent="0.25">
      <c r="A24" s="65" t="s">
        <v>24</v>
      </c>
      <c r="B24" s="66"/>
      <c r="C24" s="66"/>
      <c r="D24" s="67" t="s">
        <v>25</v>
      </c>
      <c r="E24" s="67"/>
      <c r="F24" s="67"/>
      <c r="G24" s="68" t="s">
        <v>26</v>
      </c>
      <c r="H24" s="69">
        <f>SUM(H16:H23)</f>
        <v>9326.625</v>
      </c>
      <c r="J24" s="70">
        <f>H24/339.15</f>
        <v>27.500000000000004</v>
      </c>
      <c r="K24" s="70">
        <f>J24*2</f>
        <v>55.000000000000007</v>
      </c>
    </row>
    <row r="25" spans="1:20" ht="12.75" customHeight="1" thickBot="1" x14ac:dyDescent="0.25">
      <c r="A25" s="71" t="s">
        <v>27</v>
      </c>
      <c r="B25" s="49"/>
      <c r="C25" s="49"/>
      <c r="D25" s="49"/>
      <c r="E25" s="49"/>
      <c r="F25" s="49"/>
      <c r="G25" s="72" t="s">
        <v>26</v>
      </c>
      <c r="H25" s="73"/>
      <c r="M25" s="74" t="s">
        <v>28</v>
      </c>
      <c r="N25" s="74"/>
      <c r="O25" s="74"/>
      <c r="P25" s="74"/>
    </row>
    <row r="26" spans="1:20" ht="14.25" thickTop="1" thickBot="1" x14ac:dyDescent="0.25">
      <c r="A26" s="51" t="s">
        <v>29</v>
      </c>
      <c r="B26" s="49"/>
      <c r="C26" s="49"/>
      <c r="D26" s="49"/>
      <c r="E26" s="49"/>
      <c r="F26" s="49"/>
      <c r="G26" s="72" t="s">
        <v>26</v>
      </c>
      <c r="H26" s="75">
        <f>((((H24*12)/52)*4%*4)/1)/2</f>
        <v>172.18384615384616</v>
      </c>
      <c r="M26" s="74"/>
      <c r="N26" s="74"/>
      <c r="O26" s="74"/>
      <c r="P26" s="74"/>
    </row>
    <row r="27" spans="1:20" ht="14.25" thickTop="1" thickBot="1" x14ac:dyDescent="0.25">
      <c r="A27" s="51" t="s">
        <v>30</v>
      </c>
      <c r="B27" s="49"/>
      <c r="C27" s="49"/>
      <c r="D27" s="49"/>
      <c r="E27" s="49"/>
      <c r="F27" s="49"/>
      <c r="G27" s="72" t="s">
        <v>26</v>
      </c>
      <c r="H27" s="75">
        <f>(((((H24*12)/52)*0.5%*4)/1)/2)</f>
        <v>21.52298076923077</v>
      </c>
      <c r="M27" s="74"/>
      <c r="N27" s="74"/>
      <c r="O27" s="74"/>
      <c r="P27" s="74"/>
    </row>
    <row r="28" spans="1:20" ht="14.25" thickTop="1" thickBot="1" x14ac:dyDescent="0.25">
      <c r="A28" s="51" t="s">
        <v>31</v>
      </c>
      <c r="B28" s="49"/>
      <c r="C28" s="49"/>
      <c r="D28" s="49"/>
      <c r="E28" s="49"/>
      <c r="F28" s="49"/>
      <c r="G28" s="72" t="s">
        <v>26</v>
      </c>
      <c r="H28" s="75">
        <f>((H24*1%)/1)/2</f>
        <v>46.633125</v>
      </c>
      <c r="M28" s="74"/>
      <c r="N28" s="74"/>
      <c r="O28" s="74"/>
      <c r="P28" s="74"/>
    </row>
    <row r="29" spans="1:20" ht="13.5" thickTop="1" x14ac:dyDescent="0.2">
      <c r="A29" s="71" t="s">
        <v>32</v>
      </c>
      <c r="B29" s="49"/>
      <c r="C29" s="49"/>
      <c r="D29" s="49"/>
      <c r="E29" s="49"/>
      <c r="F29" s="49"/>
      <c r="G29" s="49"/>
      <c r="H29" s="73"/>
      <c r="M29" s="74"/>
      <c r="N29" s="74"/>
      <c r="O29" s="74"/>
      <c r="P29" s="74"/>
    </row>
    <row r="30" spans="1:20" x14ac:dyDescent="0.2">
      <c r="A30" s="51"/>
      <c r="B30" s="49"/>
      <c r="C30" s="49"/>
      <c r="D30" s="49"/>
      <c r="E30" s="49"/>
      <c r="F30" s="49"/>
      <c r="G30" s="49"/>
      <c r="H30" s="73"/>
      <c r="M30" s="74"/>
      <c r="N30" s="74"/>
      <c r="O30" s="74"/>
      <c r="P30" s="74"/>
    </row>
    <row r="31" spans="1:20" ht="6.75" customHeight="1" x14ac:dyDescent="0.2">
      <c r="A31" s="51"/>
      <c r="B31" s="49"/>
      <c r="C31" s="49"/>
      <c r="D31" s="49"/>
      <c r="E31" s="49"/>
      <c r="F31" s="49"/>
      <c r="G31" s="49"/>
      <c r="H31" s="73"/>
      <c r="M31" s="74"/>
      <c r="N31" s="74"/>
      <c r="O31" s="74"/>
      <c r="P31" s="74"/>
      <c r="Q31" s="76"/>
      <c r="R31" s="76"/>
      <c r="S31" s="76"/>
      <c r="T31" s="77"/>
    </row>
    <row r="32" spans="1:20" ht="8.25" customHeight="1" thickBot="1" x14ac:dyDescent="0.25">
      <c r="A32" s="71"/>
      <c r="B32" s="78"/>
      <c r="C32" s="78"/>
      <c r="D32" s="78"/>
      <c r="E32" s="78"/>
      <c r="F32" s="78"/>
      <c r="G32" s="78"/>
      <c r="H32" s="79"/>
      <c r="J32" s="80"/>
      <c r="M32" s="74"/>
      <c r="N32" s="74"/>
      <c r="O32" s="74"/>
      <c r="P32" s="74"/>
    </row>
    <row r="33" spans="1:13" ht="13.5" thickBot="1" x14ac:dyDescent="0.25">
      <c r="A33" s="81"/>
      <c r="B33" s="66"/>
      <c r="C33" s="66"/>
      <c r="D33" s="67" t="s">
        <v>33</v>
      </c>
      <c r="E33" s="67"/>
      <c r="F33" s="67"/>
      <c r="G33" s="68" t="s">
        <v>26</v>
      </c>
      <c r="H33" s="69">
        <f>SUM(H26:H32)</f>
        <v>240.33995192307694</v>
      </c>
    </row>
    <row r="34" spans="1:13" x14ac:dyDescent="0.2">
      <c r="A34" s="51"/>
      <c r="B34" s="49"/>
      <c r="C34" s="49"/>
      <c r="D34" s="49"/>
      <c r="E34" s="49"/>
      <c r="F34" s="49"/>
      <c r="G34" s="49"/>
      <c r="H34" s="82"/>
    </row>
    <row r="35" spans="1:13" ht="18" customHeight="1" thickBot="1" x14ac:dyDescent="0.25">
      <c r="A35" s="51"/>
      <c r="B35" s="49"/>
      <c r="C35" s="49"/>
      <c r="D35" s="83" t="s">
        <v>34</v>
      </c>
      <c r="E35" s="83"/>
      <c r="G35" s="72" t="s">
        <v>26</v>
      </c>
      <c r="H35" s="84">
        <f>H24-H33</f>
        <v>9086.285048076923</v>
      </c>
      <c r="J35" s="70">
        <f>H35/[1]NOMINA!AG4</f>
        <v>23.10738275793938</v>
      </c>
      <c r="M35" s="59" t="s">
        <v>35</v>
      </c>
    </row>
    <row r="36" spans="1:13" ht="18" customHeight="1" thickTop="1" x14ac:dyDescent="0.2">
      <c r="A36" s="51"/>
      <c r="B36" s="49"/>
      <c r="C36" s="49"/>
      <c r="D36" s="85"/>
      <c r="E36" s="85"/>
      <c r="G36" s="86"/>
      <c r="H36" s="87"/>
      <c r="J36" s="70"/>
      <c r="M36" s="59">
        <f>H35</f>
        <v>9086.285048076923</v>
      </c>
    </row>
    <row r="37" spans="1:13" ht="14.25" customHeight="1" x14ac:dyDescent="0.2">
      <c r="A37" s="51"/>
      <c r="B37" s="49"/>
      <c r="C37" s="49"/>
      <c r="D37" s="85"/>
      <c r="E37" s="85"/>
      <c r="G37" s="86"/>
      <c r="H37" s="88"/>
      <c r="J37" s="70"/>
      <c r="M37" s="70"/>
    </row>
    <row r="38" spans="1:13" ht="45" customHeight="1" x14ac:dyDescent="0.2">
      <c r="A38" s="89" t="str">
        <f>M35&amp;M36&amp;M38&amp;M39&amp;M40&amp;M41&amp;M42&amp;M43</f>
        <v>He recibido la cantidad de 9086,28504807692, en 23,1073827579394dolares de los Estados Unidos de Norteamérica a la tasa de Bs. 393,22  por un (1) dolar, en coformidad con lo fijado por el BCV para el día de hoy, correspondiente a mi salario del periodo comprendido en este recibo de pago de salario . En San Cristobal a los 15 dias del mes de enero de 2026.</v>
      </c>
      <c r="B38" s="90"/>
      <c r="C38" s="90"/>
      <c r="D38" s="90"/>
      <c r="E38" s="90"/>
      <c r="F38" s="90"/>
      <c r="G38" s="90"/>
      <c r="H38" s="91"/>
      <c r="M38" s="59" t="s">
        <v>36</v>
      </c>
    </row>
    <row r="39" spans="1:13" ht="16.5" customHeight="1" x14ac:dyDescent="0.2">
      <c r="A39" s="92"/>
      <c r="B39" s="93"/>
      <c r="C39" s="93"/>
      <c r="D39" s="93"/>
      <c r="E39" s="93"/>
      <c r="F39" s="93"/>
      <c r="G39" s="93"/>
      <c r="H39" s="94"/>
      <c r="M39" s="95">
        <f>M36/M41</f>
        <v>23.10738275793938</v>
      </c>
    </row>
    <row r="40" spans="1:13" ht="19.5" customHeight="1" thickBot="1" x14ac:dyDescent="0.25">
      <c r="A40" s="96" t="s">
        <v>37</v>
      </c>
      <c r="B40" s="78"/>
      <c r="C40" s="49"/>
      <c r="D40" s="49"/>
      <c r="E40" s="76"/>
      <c r="F40" s="76"/>
      <c r="G40" s="49"/>
      <c r="H40" s="50"/>
      <c r="M40" s="59" t="s">
        <v>38</v>
      </c>
    </row>
    <row r="41" spans="1:13" ht="13.5" thickBot="1" x14ac:dyDescent="0.25">
      <c r="A41" s="51"/>
      <c r="B41" s="49" t="s">
        <v>7</v>
      </c>
      <c r="C41" s="78"/>
      <c r="D41" s="78"/>
      <c r="E41" s="49"/>
      <c r="F41" s="49"/>
      <c r="G41" s="49"/>
      <c r="H41" s="50"/>
      <c r="M41" s="97">
        <f>[1]NOMINA!AG4</f>
        <v>393.22</v>
      </c>
    </row>
    <row r="42" spans="1:13" ht="29.25" customHeight="1" thickBot="1" x14ac:dyDescent="0.25">
      <c r="A42" s="98"/>
      <c r="B42" s="99"/>
      <c r="C42" s="99"/>
      <c r="D42" s="99"/>
      <c r="E42" s="78"/>
      <c r="F42" s="78"/>
      <c r="G42" s="78"/>
      <c r="H42" s="100"/>
      <c r="M42" s="59" t="s">
        <v>39</v>
      </c>
    </row>
    <row r="43" spans="1:13" x14ac:dyDescent="0.2">
      <c r="M43" s="59" t="s">
        <v>40</v>
      </c>
    </row>
  </sheetData>
  <mergeCells count="22">
    <mergeCell ref="D35:E35"/>
    <mergeCell ref="A38:H38"/>
    <mergeCell ref="B42:D42"/>
    <mergeCell ref="A13:H13"/>
    <mergeCell ref="A14:C14"/>
    <mergeCell ref="A18:C18"/>
    <mergeCell ref="D24:F24"/>
    <mergeCell ref="M25:P32"/>
    <mergeCell ref="D33:F33"/>
    <mergeCell ref="B11:D11"/>
    <mergeCell ref="E11:F11"/>
    <mergeCell ref="G11:H11"/>
    <mergeCell ref="C12:D12"/>
    <mergeCell ref="E12:F12"/>
    <mergeCell ref="G12:H12"/>
    <mergeCell ref="A5:A6"/>
    <mergeCell ref="B5:H6"/>
    <mergeCell ref="A8:H8"/>
    <mergeCell ref="B9:D9"/>
    <mergeCell ref="G9:H9"/>
    <mergeCell ref="B10:D10"/>
    <mergeCell ref="G10:H10"/>
  </mergeCells>
  <pageMargins left="1.4960629921259843" right="0.70866141732283472" top="0.74803149606299213" bottom="0.74803149606299213" header="0.31496062992125984" footer="0.31496062992125984"/>
  <pageSetup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EJEMPLO</vt:lpstr>
      <vt:lpstr>EJEMPLO!Área_de_impresión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 omana</dc:creator>
  <cp:lastModifiedBy>Yose omana</cp:lastModifiedBy>
  <cp:lastPrinted>2026-09-16T18:00:29Z</cp:lastPrinted>
  <dcterms:created xsi:type="dcterms:W3CDTF">2026-09-16T18:00:08Z</dcterms:created>
  <dcterms:modified xsi:type="dcterms:W3CDTF">2026-09-16T18:00:50Z</dcterms:modified>
</cp:coreProperties>
</file>